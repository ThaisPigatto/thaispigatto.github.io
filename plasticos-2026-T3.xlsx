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ções" sheetId="1" state="visible" r:id="rId3"/>
    <sheet name="Números" sheetId="2" state="visible" r:id="rId4"/>
    <sheet name="Leitura" sheetId="3" state="visible" r:id="rId5"/>
    <sheet name="Prioritários" sheetId="4" state="visible" r:id="rId6"/>
    <sheet name="Foco" sheetId="5" state="visible" r:id="rId7"/>
    <sheet name="Not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2" authorId="0">
      <text>
        <r>
          <rPr>
            <sz val="10"/>
            <rFont val="Arial"/>
            <family val="2"/>
          </rPr>
          <t xml:space="preserve">Soma automática das 3 metas mensais.</t>
        </r>
      </text>
    </comment>
    <comment ref="F25" authorId="0">
      <text>
        <r>
          <rPr>
            <sz val="10"/>
            <rFont val="Arial"/>
            <family val="2"/>
          </rPr>
          <t xml:space="preserve">Meta de orçamentos perdidos é um teto: o painel mostra 'até R$ ...'.</t>
        </r>
      </text>
    </comment>
  </commentList>
</comments>
</file>

<file path=xl/sharedStrings.xml><?xml version="1.0" encoding="utf-8"?>
<sst xmlns="http://schemas.openxmlformats.org/spreadsheetml/2006/main" count="189" uniqueCount="149">
  <si>
    <t xml:space="preserve">Como preencher · Painel de Resultados Grupo Pigatto</t>
  </si>
  <si>
    <t xml:space="preserve">Passo</t>
  </si>
  <si>
    <t xml:space="preserve">O que fazer</t>
  </si>
  <si>
    <t xml:space="preserve">1</t>
  </si>
  <si>
    <t xml:space="preserve">Na aba Números, escolha a Família, o Ano e o Trimestre (células amarelas do topo).</t>
  </si>
  <si>
    <t xml:space="preserve">2</t>
  </si>
  <si>
    <t xml:space="preserve">Preencha só as células amarelas. Faturamento e meta de faturamento são obrigatórios; o resto é opcional. Deixe em branco o que não tiver.</t>
  </si>
  <si>
    <t xml:space="preserve">3</t>
  </si>
  <si>
    <t xml:space="preserve">Digite números puros (ex.: 235720,66). Não escreva texto como “35 → R$ 7813” numa célula: quantidade e valor ficam em linhas separadas.</t>
  </si>
  <si>
    <t xml:space="preserve">4</t>
  </si>
  <si>
    <t xml:space="preserve">Não altere a coluna Código nem os nomes das abas. É por eles que o painel lê a planilha.</t>
  </si>
  <si>
    <t xml:space="preserve">5</t>
  </si>
  <si>
    <t xml:space="preserve">Abas Leitura, Prioritários, Foco e Notas são opcionais. O que estiver vazio não aparece no painel.</t>
  </si>
  <si>
    <t xml:space="preserve">6</t>
  </si>
  <si>
    <t xml:space="preserve">Salve com um nome claro, ex.: adesivos-2026-T4.xlsx.</t>
  </si>
  <si>
    <t xml:space="preserve">7</t>
  </si>
  <si>
    <t xml:space="preserve">Antes de publicar: no painel, clique em “Conferir planilha” e escolha o arquivo. Ele aparece só no seu navegador.</t>
  </si>
  <si>
    <t xml:space="preserve">8</t>
  </si>
  <si>
    <t xml:space="preserve">Para publicar: no GitHub, abra a pasta dados, clique em Add file → Upload files, solte o arquivo e clique em Commit changes. Em 1 a 2 minutos o painel mostra para todos.</t>
  </si>
  <si>
    <t xml:space="preserve">9</t>
  </si>
  <si>
    <t xml:space="preserve">Para corrigir: suba de novo com o MESMO nome de arquivo (substitui o anterior).</t>
  </si>
  <si>
    <t xml:space="preserve">10</t>
  </si>
  <si>
    <t xml:space="preserve">Família “Geral (empresa)”: use para a meta da empresa e para a leitura geral. O faturamento total é a soma das famílias.</t>
  </si>
  <si>
    <t xml:space="preserve">Exemplo de linha preenchida (aba Números):</t>
  </si>
  <si>
    <t xml:space="preserve">Indicador</t>
  </si>
  <si>
    <t xml:space="preserve">Código</t>
  </si>
  <si>
    <t xml:space="preserve">Mês 1</t>
  </si>
  <si>
    <t xml:space="preserve">Mês 2</t>
  </si>
  <si>
    <t xml:space="preserve">Mês 3</t>
  </si>
  <si>
    <t xml:space="preserve">Faturamento (R$)</t>
  </si>
  <si>
    <t xml:space="preserve">fat</t>
  </si>
  <si>
    <t xml:space="preserve">235720,66</t>
  </si>
  <si>
    <t xml:space="preserve">145182,90</t>
  </si>
  <si>
    <t xml:space="preserve">214706,21</t>
  </si>
  <si>
    <t xml:space="preserve">Legenda:</t>
  </si>
  <si>
    <t xml:space="preserve">Amarelo</t>
  </si>
  <si>
    <t xml:space="preserve">célula para preencher (texto azul = dado digitado)</t>
  </si>
  <si>
    <t xml:space="preserve">Cinza</t>
  </si>
  <si>
    <t xml:space="preserve">calculado pela planilha, não digitar</t>
  </si>
  <si>
    <t xml:space="preserve">Números do trimestre</t>
  </si>
  <si>
    <t xml:space="preserve">Preencha só as células amarelas. Não altere a coluna Código.</t>
  </si>
  <si>
    <t xml:space="preserve">Família</t>
  </si>
  <si>
    <t xml:space="preserve">Plásticos de Engenharia</t>
  </si>
  <si>
    <t xml:space="preserve">Ano</t>
  </si>
  <si>
    <t xml:space="preserve">Trimestre</t>
  </si>
  <si>
    <t xml:space="preserve">Meta mensal</t>
  </si>
  <si>
    <t xml:space="preserve">Obrigatório</t>
  </si>
  <si>
    <t xml:space="preserve">Faturamento e volume</t>
  </si>
  <si>
    <t xml:space="preserve">—</t>
  </si>
  <si>
    <t xml:space="preserve">Sim</t>
  </si>
  <si>
    <t xml:space="preserve">Meta de faturamento do mês (R$)</t>
  </si>
  <si>
    <t xml:space="preserve">meta_fat</t>
  </si>
  <si>
    <t xml:space="preserve">Meta do trimestre (R$)</t>
  </si>
  <si>
    <t xml:space="preserve">meta_tri</t>
  </si>
  <si>
    <t xml:space="preserve">Notas fiscais (qtd)</t>
  </si>
  <si>
    <t xml:space="preserve">nfs</t>
  </si>
  <si>
    <t xml:space="preserve">Não</t>
  </si>
  <si>
    <t xml:space="preserve">Clientes ativos (qtd)</t>
  </si>
  <si>
    <t xml:space="preserve">ativos</t>
  </si>
  <si>
    <t xml:space="preserve">Ticket médio por venda (R$) · calculado</t>
  </si>
  <si>
    <t xml:space="preserve">tVenda</t>
  </si>
  <si>
    <t xml:space="preserve">Ticket médio por cliente (R$) · calculado</t>
  </si>
  <si>
    <t xml:space="preserve">tCliente</t>
  </si>
  <si>
    <t xml:space="preserve">Clientes novos</t>
  </si>
  <si>
    <t xml:space="preserve">Clientes novos (qtd)</t>
  </si>
  <si>
    <t xml:space="preserve">novosQ</t>
  </si>
  <si>
    <t xml:space="preserve">Faturamento de clientes novos (R$)</t>
  </si>
  <si>
    <t xml:space="preserve">novosV</t>
  </si>
  <si>
    <t xml:space="preserve">Clientes recuperados</t>
  </si>
  <si>
    <t xml:space="preserve">Clientes recuperados (qtd)</t>
  </si>
  <si>
    <t xml:space="preserve">recQ</t>
  </si>
  <si>
    <t xml:space="preserve">Faturamento de clientes recuperados (R$)</t>
  </si>
  <si>
    <t xml:space="preserve">recV</t>
  </si>
  <si>
    <t xml:space="preserve">Orçamentos perdidos</t>
  </si>
  <si>
    <t xml:space="preserve">Orçamentos perdidos (qtd)</t>
  </si>
  <si>
    <t xml:space="preserve">perdQ</t>
  </si>
  <si>
    <t xml:space="preserve">Valor de orçamentos perdidos (R$) · meta = teto</t>
  </si>
  <si>
    <t xml:space="preserve">perdV</t>
  </si>
  <si>
    <t xml:space="preserve">Vendas pela Pigatto Hub dentro desta família (opcional): preencha só o que a Hub vendeu, separado dos números acima</t>
  </si>
  <si>
    <t xml:space="preserve">Hub · Faturamento (R$)</t>
  </si>
  <si>
    <t xml:space="preserve">hub_fat</t>
  </si>
  <si>
    <t xml:space="preserve">Hub · Notas fiscais (qtd)</t>
  </si>
  <si>
    <t xml:space="preserve">hub_nfs</t>
  </si>
  <si>
    <t xml:space="preserve">Hub · Clientes ativos (qtd)</t>
  </si>
  <si>
    <t xml:space="preserve">hub_ativos</t>
  </si>
  <si>
    <t xml:space="preserve">Hub · Clientes novos (qtd)</t>
  </si>
  <si>
    <t xml:space="preserve">hub_novosQ</t>
  </si>
  <si>
    <t xml:space="preserve">Hub · Faturamento de clientes novos (R$)</t>
  </si>
  <si>
    <t xml:space="preserve">hub_novosV</t>
  </si>
  <si>
    <t xml:space="preserve">Hub · Clientes recuperados (qtd)</t>
  </si>
  <si>
    <t xml:space="preserve">hub_recQ</t>
  </si>
  <si>
    <t xml:space="preserve">Hub · Faturamento de recuperados (R$)</t>
  </si>
  <si>
    <t xml:space="preserve">hub_recV</t>
  </si>
  <si>
    <t xml:space="preserve">Hub · Orçamentos perdidos (qtd)</t>
  </si>
  <si>
    <t xml:space="preserve">hub_perdQ</t>
  </si>
  <si>
    <t xml:space="preserve">Hub · Valor de orçamentos perdidos (R$)</t>
  </si>
  <si>
    <t xml:space="preserve">hub_perdV</t>
  </si>
  <si>
    <t xml:space="preserve">Leitura do resultado · do maior para o menor valor</t>
  </si>
  <si>
    <t xml:space="preserve">Preencha só as células amarelas. Linhas vazias são ignoradas.</t>
  </si>
  <si>
    <t xml:space="preserve">Destaque (número)</t>
  </si>
  <si>
    <t xml:space="preserve">Título</t>
  </si>
  <si>
    <t xml:space="preserve">Texto</t>
  </si>
  <si>
    <t xml:space="preserve">R$ 367 mil</t>
  </si>
  <si>
    <t xml:space="preserve">Perdemos mais em orçamento do que faltou na meta</t>
  </si>
  <si>
    <t xml:space="preserve">Foram 80 orçamentos perdidos no trimestre, valor acima do gap (R$ 254 mil). A meta é perder no máximo R$ 50 mil por mês; perdemos de R$ 85 mil a R$ 186 mil. A maior parte das negociações foi perdida por preço.</t>
  </si>
  <si>
    <t xml:space="preserve">R$ 72 mil</t>
  </si>
  <si>
    <t xml:space="preserve">Ticcolor: projeto recuperado!</t>
  </si>
  <si>
    <t xml:space="preserve">A Ticcolor comprava em média R$ 30 mil por mês e, com a entrada em novos projetos, faturou R$ 72 mil em setembro, um terço do faturamento do mês.</t>
  </si>
  <si>
    <t xml:space="preserve">R$ 1.060</t>
  </si>
  <si>
    <t xml:space="preserve">Mais notas, pedidos menores</t>
  </si>
  <si>
    <t xml:space="preserve">As notas subiram de 118 para 162, mas o ticket por venda caiu quase pela metade em agosto (de R$ 1.998 para R$ 1.060) e ainda está 34% abaixo da meta em setembro. O esforço existe; o valor por pedido é que não acompanha.</t>
  </si>
  <si>
    <t xml:space="preserve">R$ 223</t>
  </si>
  <si>
    <t xml:space="preserve">Cliente novo entra com compra pequena</t>
  </si>
  <si>
    <t xml:space="preserve">Foi a média por cliente novo em agosto (35 clientes, R$ 7,8 mil no total). Em setembro subiu para R$ 742. Abrir conta está funcionando; transformar em volume ainda não.</t>
  </si>
  <si>
    <t xml:space="preserve">Clientes prioritários para recuperação</t>
  </si>
  <si>
    <t xml:space="preserve">Cliente</t>
  </si>
  <si>
    <t xml:space="preserve">Objetivo</t>
  </si>
  <si>
    <t xml:space="preserve">Andamento (opcional)</t>
  </si>
  <si>
    <t xml:space="preserve">Tipo</t>
  </si>
  <si>
    <t xml:space="preserve">Vollight</t>
  </si>
  <si>
    <t xml:space="preserve">Reativar compras e novos projetos</t>
  </si>
  <si>
    <t xml:space="preserve">Mão Colorida</t>
  </si>
  <si>
    <t xml:space="preserve">Recuperar volume histórico</t>
  </si>
  <si>
    <t xml:space="preserve">Setembro: sem venda, mas cotações abertas com preços da concorrência. Negociar quando chegar a importação.</t>
  </si>
  <si>
    <t xml:space="preserve">Atenção</t>
  </si>
  <si>
    <t xml:space="preserve">Brink Mobil</t>
  </si>
  <si>
    <t xml:space="preserve">Retomar fornecimento</t>
  </si>
  <si>
    <t xml:space="preserve">Paladini</t>
  </si>
  <si>
    <t xml:space="preserve">Identificar novas demandas</t>
  </si>
  <si>
    <t xml:space="preserve">Imprimark</t>
  </si>
  <si>
    <t xml:space="preserve">Avaliar possibilidade de novos negócios</t>
  </si>
  <si>
    <t xml:space="preserve">Setembro: R$ 15 mil faturados (média era R$ 1,2 mil).</t>
  </si>
  <si>
    <t xml:space="preserve">Positivo</t>
  </si>
  <si>
    <t xml:space="preserve">Viso Quadros Luminosos</t>
  </si>
  <si>
    <t xml:space="preserve">Reaproximação comercial</t>
  </si>
  <si>
    <t xml:space="preserve">Foco / próximos passos</t>
  </si>
  <si>
    <t xml:space="preserve">Título da seção</t>
  </si>
  <si>
    <t xml:space="preserve">Foco para outubro</t>
  </si>
  <si>
    <t xml:space="preserve">Responsável</t>
  </si>
  <si>
    <t xml:space="preserve">Recuperar orçamentos</t>
  </si>
  <si>
    <t xml:space="preserve">Revisar os 32 orçamentos perdidos em setembro (R$ 85 mil). A maioria caiu por preço: ver quais dá para reabrir com nova condição.</t>
  </si>
  <si>
    <t xml:space="preserve">Subir o valor por pedido</t>
  </si>
  <si>
    <t xml:space="preserve">Cross-sell e volume na carteira ativa de 53 clientes, para voltar o ticket por venda perto de R$ 2.000.</t>
  </si>
  <si>
    <t xml:space="preserve">Reativar a lista prioritária</t>
  </si>
  <si>
    <t xml:space="preserve">Contato com os 6 clientes inativos e meta de pelo menos 2 recuperados no mês.</t>
  </si>
  <si>
    <t xml:space="preserve">Notas e fontes</t>
  </si>
  <si>
    <t xml:space="preserve">Nota</t>
  </si>
  <si>
    <t xml:space="preserve">Fonte: planilha “resultados_TRi” (previsão de faturamento, base Omie).</t>
  </si>
  <si>
    <t xml:space="preserve">Vendas da Hub: coluna “Realizado (hub)” da planilha original. Clientes ativos da Hub = clientes novos da Hub (20, 22 e 28), pois o campo de ativos dessa coluna estava 0.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</si>
</sst>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&quot;R$ &quot;#,##0.00;&quot;-R$ &quot;#,##0.00;\-"/>
    <numFmt numFmtId="167" formatCode="#,##0;\-#,##0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7941D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B6B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3265"/>
      <name val="Arial"/>
      <family val="0"/>
      <charset val="1"/>
    </font>
    <font>
      <sz val="9"/>
      <color rgb="FF8899AA"/>
      <name val="Arial"/>
      <family val="0"/>
      <charset val="1"/>
    </font>
    <font>
      <sz val="11"/>
      <color rgb="FF8899AA"/>
      <name val="Arial"/>
      <family val="0"/>
      <charset val="1"/>
    </font>
    <font>
      <b val="true"/>
      <sz val="11"/>
      <color rgb="FFD64545"/>
      <name val="Arial"/>
      <family val="0"/>
      <charset val="1"/>
    </font>
    <font>
      <sz val="11"/>
      <color rgb="FF5B6B80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3265"/>
        <bgColor rgb="FF333333"/>
      </patternFill>
    </fill>
    <fill>
      <patternFill patternType="solid">
        <fgColor rgb="FFFFF59D"/>
        <bgColor rgb="FFEEF2F6"/>
      </patternFill>
    </fill>
    <fill>
      <patternFill patternType="solid">
        <fgColor rgb="FFE3E9F0"/>
        <bgColor rgb="FFEEF2F6"/>
      </patternFill>
    </fill>
    <fill>
      <patternFill patternType="solid">
        <fgColor rgb="FF2B8AC4"/>
        <bgColor rgb="FF008080"/>
      </patternFill>
    </fill>
    <fill>
      <patternFill patternType="solid">
        <fgColor rgb="FFEEF2F6"/>
        <bgColor rgb="FFE3E9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64545"/>
      <rgbColor rgb="FFEEF2F6"/>
      <rgbColor rgb="FFE3E9F0"/>
      <rgbColor rgb="FF660066"/>
      <rgbColor rgb="FFFF8080"/>
      <rgbColor rgb="FF0066CC"/>
      <rgbColor rgb="FFC9D3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41D"/>
      <rgbColor rgb="FFFF6600"/>
      <rgbColor rgb="FF5B6B80"/>
      <rgbColor rgb="FF8899AA"/>
      <rgbColor rgb="FF003265"/>
      <rgbColor rgb="FF2B8AC4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5"/>
    <col collapsed="false" customWidth="true" hidden="false" outlineLevel="0" max="5" min="3" style="0" width="14"/>
  </cols>
  <sheetData>
    <row r="1" customFormat="false" ht="30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26.85" hidden="false" customHeight="false" outlineLevel="0" collapsed="false">
      <c r="A5" s="3" t="s">
        <v>5</v>
      </c>
      <c r="B5" s="4" t="s">
        <v>6</v>
      </c>
    </row>
    <row r="6" customFormat="false" ht="26.8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15" hidden="false" customHeight="false" outlineLevel="0" collapsed="false">
      <c r="A8" s="3" t="s">
        <v>11</v>
      </c>
      <c r="B8" s="4" t="s">
        <v>12</v>
      </c>
    </row>
    <row r="9" customFormat="false" ht="15" hidden="false" customHeight="false" outlineLevel="0" collapsed="false">
      <c r="A9" s="3" t="s">
        <v>13</v>
      </c>
      <c r="B9" s="4" t="s">
        <v>14</v>
      </c>
    </row>
    <row r="10" customFormat="false" ht="26.85" hidden="false" customHeight="false" outlineLevel="0" collapsed="false">
      <c r="A10" s="3" t="s">
        <v>15</v>
      </c>
      <c r="B10" s="4" t="s">
        <v>16</v>
      </c>
    </row>
    <row r="11" customFormat="false" ht="26.85" hidden="false" customHeight="false" outlineLevel="0" collapsed="false">
      <c r="A11" s="3" t="s">
        <v>17</v>
      </c>
      <c r="B11" s="4" t="s">
        <v>18</v>
      </c>
    </row>
    <row r="12" customFormat="false" ht="15" hidden="false" customHeight="false" outlineLevel="0" collapsed="false">
      <c r="A12" s="3" t="s">
        <v>19</v>
      </c>
      <c r="B12" s="4" t="s">
        <v>20</v>
      </c>
    </row>
    <row r="13" customFormat="false" ht="26.85" hidden="false" customHeight="false" outlineLevel="0" collapsed="false">
      <c r="A13" s="3" t="s">
        <v>21</v>
      </c>
      <c r="B13" s="4" t="s">
        <v>22</v>
      </c>
    </row>
    <row r="15" customFormat="false" ht="15" hidden="false" customHeight="false" outlineLevel="0" collapsed="false">
      <c r="A15" s="2" t="s">
        <v>23</v>
      </c>
    </row>
    <row r="16" customFormat="false" ht="15" hidden="false" customHeight="false" outlineLevel="0" collapsed="false">
      <c r="A16" s="2" t="s">
        <v>24</v>
      </c>
      <c r="B16" s="2" t="s">
        <v>25</v>
      </c>
      <c r="C16" s="2" t="s">
        <v>26</v>
      </c>
      <c r="D16" s="2" t="s">
        <v>27</v>
      </c>
      <c r="E16" s="2" t="s">
        <v>28</v>
      </c>
    </row>
    <row r="17" customFormat="false" ht="15" hidden="false" customHeight="false" outlineLevel="0" collapsed="false">
      <c r="A17" s="5" t="s">
        <v>29</v>
      </c>
      <c r="B17" s="5" t="s">
        <v>30</v>
      </c>
      <c r="C17" s="5" t="s">
        <v>31</v>
      </c>
      <c r="D17" s="5" t="s">
        <v>32</v>
      </c>
      <c r="E17" s="5" t="s">
        <v>33</v>
      </c>
    </row>
    <row r="19" customFormat="false" ht="15" hidden="false" customHeight="false" outlineLevel="0" collapsed="false">
      <c r="A19" s="2" t="s">
        <v>34</v>
      </c>
    </row>
    <row r="20" customFormat="false" ht="15" hidden="false" customHeight="false" outlineLevel="0" collapsed="false">
      <c r="A20" s="6" t="s">
        <v>35</v>
      </c>
      <c r="B20" s="7" t="s">
        <v>36</v>
      </c>
    </row>
    <row r="21" customFormat="false" ht="15" hidden="false" customHeight="false" outlineLevel="0" collapsed="false">
      <c r="A21" s="8" t="s">
        <v>37</v>
      </c>
      <c r="B21" s="7" t="s">
        <v>38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6" min="3" style="0" width="17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" t="s">
        <v>39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9" t="s">
        <v>40</v>
      </c>
    </row>
    <row r="4" customFormat="false" ht="15" hidden="false" customHeight="false" outlineLevel="0" collapsed="false">
      <c r="A4" s="2" t="s">
        <v>41</v>
      </c>
      <c r="B4" s="10" t="s">
        <v>42</v>
      </c>
    </row>
    <row r="5" customFormat="false" ht="15" hidden="false" customHeight="false" outlineLevel="0" collapsed="false">
      <c r="A5" s="2" t="s">
        <v>43</v>
      </c>
      <c r="B5" s="11" t="n">
        <v>2026</v>
      </c>
    </row>
    <row r="6" customFormat="false" ht="15" hidden="false" customHeight="false" outlineLevel="0" collapsed="false">
      <c r="A6" s="2" t="s">
        <v>44</v>
      </c>
      <c r="B6" s="11" t="n">
        <v>3</v>
      </c>
    </row>
    <row r="8" customFormat="false" ht="15" hidden="false" customHeight="false" outlineLevel="0" collapsed="false">
      <c r="A8" s="12" t="s">
        <v>24</v>
      </c>
      <c r="B8" s="12" t="s">
        <v>25</v>
      </c>
      <c r="C8" s="12" t="str">
        <f aca="false">IFERROR(CHOOSE(($B$6-1)*3+1,"Janeiro","Fevereiro","Março","Abril","Maio","Junho","Julho","Agosto","Setembro","Outubro","Novembro","Dezembro"),"Mês 1")</f>
        <v>Julho</v>
      </c>
      <c r="D8" s="12" t="str">
        <f aca="false">IFERROR(CHOOSE(($B$6-1)*3+2,"Janeiro","Fevereiro","Março","Abril","Maio","Junho","Julho","Agosto","Setembro","Outubro","Novembro","Dezembro"),"Mês 2")</f>
        <v>Agosto</v>
      </c>
      <c r="E8" s="12" t="str">
        <f aca="false">IFERROR(CHOOSE(($B$6-1)*3+3,"Janeiro","Fevereiro","Março","Abril","Maio","Junho","Julho","Agosto","Setembro","Outubro","Novembro","Dezembro"),"Mês 3")</f>
        <v>Setembro</v>
      </c>
      <c r="F8" s="12" t="s">
        <v>45</v>
      </c>
      <c r="G8" s="12" t="s">
        <v>46</v>
      </c>
    </row>
    <row r="9" customFormat="false" ht="15" hidden="false" customHeight="true" outlineLevel="0" collapsed="false">
      <c r="A9" s="13" t="s">
        <v>47</v>
      </c>
      <c r="B9" s="13"/>
      <c r="C9" s="13"/>
      <c r="D9" s="13"/>
      <c r="E9" s="13"/>
      <c r="F9" s="13"/>
      <c r="G9" s="13"/>
    </row>
    <row r="10" customFormat="false" ht="15" hidden="false" customHeight="false" outlineLevel="0" collapsed="false">
      <c r="A10" s="14" t="s">
        <v>29</v>
      </c>
      <c r="B10" s="15" t="s">
        <v>30</v>
      </c>
      <c r="C10" s="16" t="n">
        <v>235720.66</v>
      </c>
      <c r="D10" s="16" t="n">
        <v>145182.9</v>
      </c>
      <c r="E10" s="16" t="n">
        <v>214706.21</v>
      </c>
      <c r="F10" s="17" t="s">
        <v>48</v>
      </c>
      <c r="G10" s="18" t="s">
        <v>49</v>
      </c>
    </row>
    <row r="11" customFormat="false" ht="15" hidden="false" customHeight="false" outlineLevel="0" collapsed="false">
      <c r="A11" s="14" t="s">
        <v>50</v>
      </c>
      <c r="B11" s="15" t="s">
        <v>51</v>
      </c>
      <c r="C11" s="16" t="n">
        <v>250000</v>
      </c>
      <c r="D11" s="16" t="n">
        <v>300000</v>
      </c>
      <c r="E11" s="16" t="n">
        <v>300000</v>
      </c>
      <c r="F11" s="17" t="s">
        <v>48</v>
      </c>
      <c r="G11" s="18" t="s">
        <v>49</v>
      </c>
    </row>
    <row r="12" customFormat="false" ht="15" hidden="false" customHeight="false" outlineLevel="0" collapsed="false">
      <c r="A12" s="14" t="s">
        <v>52</v>
      </c>
      <c r="B12" s="15" t="s">
        <v>53</v>
      </c>
      <c r="C12" s="19" t="n">
        <f aca="false">SUM(C11:E11)</f>
        <v>850000</v>
      </c>
      <c r="D12" s="19"/>
      <c r="E12" s="19"/>
      <c r="F12" s="17" t="s">
        <v>48</v>
      </c>
      <c r="G12" s="20"/>
    </row>
    <row r="13" customFormat="false" ht="15" hidden="false" customHeight="false" outlineLevel="0" collapsed="false">
      <c r="A13" s="14" t="s">
        <v>54</v>
      </c>
      <c r="B13" s="15" t="s">
        <v>55</v>
      </c>
      <c r="C13" s="21" t="n">
        <v>118</v>
      </c>
      <c r="D13" s="21" t="n">
        <v>137</v>
      </c>
      <c r="E13" s="21" t="n">
        <v>162</v>
      </c>
      <c r="F13" s="21" t="n">
        <v>154</v>
      </c>
      <c r="G13" s="20" t="s">
        <v>56</v>
      </c>
    </row>
    <row r="14" customFormat="false" ht="15" hidden="false" customHeight="false" outlineLevel="0" collapsed="false">
      <c r="A14" s="14" t="s">
        <v>57</v>
      </c>
      <c r="B14" s="15" t="s">
        <v>58</v>
      </c>
      <c r="C14" s="21" t="n">
        <v>49</v>
      </c>
      <c r="D14" s="21" t="n">
        <v>37</v>
      </c>
      <c r="E14" s="21" t="n">
        <v>53</v>
      </c>
      <c r="F14" s="21" t="n">
        <v>50</v>
      </c>
      <c r="G14" s="20" t="s">
        <v>56</v>
      </c>
    </row>
    <row r="15" customFormat="false" ht="15" hidden="false" customHeight="false" outlineLevel="0" collapsed="false">
      <c r="A15" s="14" t="s">
        <v>59</v>
      </c>
      <c r="B15" s="15" t="s">
        <v>60</v>
      </c>
      <c r="C15" s="19" t="n">
        <f aca="false">IFERROR(C10/C13,"")</f>
        <v>1997.63271186441</v>
      </c>
      <c r="D15" s="19" t="n">
        <f aca="false">IFERROR(D10/D13,"")</f>
        <v>1059.72919708029</v>
      </c>
      <c r="E15" s="19" t="n">
        <f aca="false">IFERROR(E10/E13,"")</f>
        <v>1325.34697530864</v>
      </c>
      <c r="F15" s="16" t="n">
        <v>1995</v>
      </c>
      <c r="G15" s="20" t="s">
        <v>56</v>
      </c>
    </row>
    <row r="16" customFormat="false" ht="15" hidden="false" customHeight="false" outlineLevel="0" collapsed="false">
      <c r="A16" s="14" t="s">
        <v>61</v>
      </c>
      <c r="B16" s="15" t="s">
        <v>62</v>
      </c>
      <c r="C16" s="19" t="n">
        <f aca="false">IFERROR(C10/C14,"")</f>
        <v>4810.62571428571</v>
      </c>
      <c r="D16" s="19" t="n">
        <f aca="false">IFERROR(D10/D14,"")</f>
        <v>3923.86216216216</v>
      </c>
      <c r="E16" s="19" t="n">
        <f aca="false">IFERROR(E10/E14,"")</f>
        <v>4051.06056603774</v>
      </c>
      <c r="F16" s="16" t="n">
        <v>6143</v>
      </c>
      <c r="G16" s="20" t="s">
        <v>56</v>
      </c>
    </row>
    <row r="17" customFormat="false" ht="15" hidden="false" customHeight="true" outlineLevel="0" collapsed="false">
      <c r="A17" s="13" t="s">
        <v>63</v>
      </c>
      <c r="B17" s="13"/>
      <c r="C17" s="13"/>
      <c r="D17" s="13"/>
      <c r="E17" s="13"/>
      <c r="F17" s="13"/>
      <c r="G17" s="13"/>
    </row>
    <row r="18" customFormat="false" ht="15" hidden="false" customHeight="false" outlineLevel="0" collapsed="false">
      <c r="A18" s="14" t="s">
        <v>64</v>
      </c>
      <c r="B18" s="15" t="s">
        <v>65</v>
      </c>
      <c r="C18" s="21" t="n">
        <v>16</v>
      </c>
      <c r="D18" s="21" t="n">
        <v>35</v>
      </c>
      <c r="E18" s="21" t="n">
        <v>22</v>
      </c>
      <c r="F18" s="21" t="n">
        <v>21</v>
      </c>
      <c r="G18" s="20" t="s">
        <v>56</v>
      </c>
    </row>
    <row r="19" customFormat="false" ht="15" hidden="false" customHeight="false" outlineLevel="0" collapsed="false">
      <c r="A19" s="14" t="s">
        <v>66</v>
      </c>
      <c r="B19" s="15" t="s">
        <v>67</v>
      </c>
      <c r="C19" s="16" t="n">
        <v>24766.12</v>
      </c>
      <c r="D19" s="16" t="n">
        <v>7813</v>
      </c>
      <c r="E19" s="16" t="n">
        <v>16320.32</v>
      </c>
      <c r="F19" s="16" t="n">
        <v>32500</v>
      </c>
      <c r="G19" s="20" t="s">
        <v>56</v>
      </c>
    </row>
    <row r="20" customFormat="false" ht="15" hidden="false" customHeight="true" outlineLevel="0" collapsed="false">
      <c r="A20" s="13" t="s">
        <v>68</v>
      </c>
      <c r="B20" s="13"/>
      <c r="C20" s="13"/>
      <c r="D20" s="13"/>
      <c r="E20" s="13"/>
      <c r="F20" s="13"/>
      <c r="G20" s="13"/>
    </row>
    <row r="21" customFormat="false" ht="15" hidden="false" customHeight="false" outlineLevel="0" collapsed="false">
      <c r="A21" s="14" t="s">
        <v>69</v>
      </c>
      <c r="B21" s="15" t="s">
        <v>70</v>
      </c>
      <c r="C21" s="21" t="n">
        <v>2</v>
      </c>
      <c r="D21" s="21" t="n">
        <v>0</v>
      </c>
      <c r="E21" s="21" t="n">
        <v>0</v>
      </c>
      <c r="F21" s="21" t="n">
        <v>4</v>
      </c>
      <c r="G21" s="20" t="s">
        <v>56</v>
      </c>
    </row>
    <row r="22" customFormat="false" ht="15" hidden="false" customHeight="false" outlineLevel="0" collapsed="false">
      <c r="A22" s="14" t="s">
        <v>71</v>
      </c>
      <c r="B22" s="15" t="s">
        <v>72</v>
      </c>
      <c r="C22" s="16" t="n">
        <v>49108.12</v>
      </c>
      <c r="D22" s="16" t="n">
        <v>0</v>
      </c>
      <c r="E22" s="16" t="n">
        <v>0</v>
      </c>
      <c r="F22" s="16" t="n">
        <v>45000</v>
      </c>
      <c r="G22" s="20" t="s">
        <v>56</v>
      </c>
    </row>
    <row r="23" customFormat="false" ht="15" hidden="false" customHeight="true" outlineLevel="0" collapsed="false">
      <c r="A23" s="13" t="s">
        <v>73</v>
      </c>
      <c r="B23" s="13"/>
      <c r="C23" s="13"/>
      <c r="D23" s="13"/>
      <c r="E23" s="13"/>
      <c r="F23" s="13"/>
      <c r="G23" s="13"/>
    </row>
    <row r="24" customFormat="false" ht="15" hidden="false" customHeight="false" outlineLevel="0" collapsed="false">
      <c r="A24" s="14" t="s">
        <v>74</v>
      </c>
      <c r="B24" s="15" t="s">
        <v>75</v>
      </c>
      <c r="C24" s="21" t="n">
        <v>25</v>
      </c>
      <c r="D24" s="21" t="n">
        <v>23</v>
      </c>
      <c r="E24" s="21" t="n">
        <v>32</v>
      </c>
      <c r="F24" s="17" t="s">
        <v>48</v>
      </c>
      <c r="G24" s="20" t="s">
        <v>56</v>
      </c>
    </row>
    <row r="25" customFormat="false" ht="15" hidden="false" customHeight="false" outlineLevel="0" collapsed="false">
      <c r="A25" s="14" t="s">
        <v>76</v>
      </c>
      <c r="B25" s="15" t="s">
        <v>77</v>
      </c>
      <c r="C25" s="16" t="n">
        <v>95188.54</v>
      </c>
      <c r="D25" s="16" t="n">
        <v>186265.9</v>
      </c>
      <c r="E25" s="16" t="n">
        <v>85236.96</v>
      </c>
      <c r="F25" s="16" t="n">
        <v>50000</v>
      </c>
      <c r="G25" s="20" t="s">
        <v>56</v>
      </c>
    </row>
    <row r="26" customFormat="false" ht="30" hidden="false" customHeight="true" outlineLevel="0" collapsed="false">
      <c r="A26" s="13" t="s">
        <v>78</v>
      </c>
      <c r="B26" s="13"/>
      <c r="C26" s="13"/>
      <c r="D26" s="13"/>
      <c r="E26" s="13"/>
      <c r="F26" s="13"/>
      <c r="G26" s="13"/>
    </row>
    <row r="27" customFormat="false" ht="15" hidden="false" customHeight="false" outlineLevel="0" collapsed="false">
      <c r="A27" s="14" t="s">
        <v>79</v>
      </c>
      <c r="B27" s="15" t="s">
        <v>80</v>
      </c>
      <c r="C27" s="16" t="n">
        <v>2250.32</v>
      </c>
      <c r="D27" s="16" t="n">
        <v>3208.18</v>
      </c>
      <c r="E27" s="16" t="n">
        <v>3948.74</v>
      </c>
      <c r="F27" s="17" t="s">
        <v>48</v>
      </c>
      <c r="G27" s="20" t="s">
        <v>56</v>
      </c>
    </row>
    <row r="28" customFormat="false" ht="15" hidden="false" customHeight="false" outlineLevel="0" collapsed="false">
      <c r="A28" s="14" t="s">
        <v>81</v>
      </c>
      <c r="B28" s="15" t="s">
        <v>82</v>
      </c>
      <c r="C28" s="21" t="n">
        <v>21</v>
      </c>
      <c r="D28" s="21" t="n">
        <v>26</v>
      </c>
      <c r="E28" s="21" t="n">
        <v>33</v>
      </c>
      <c r="F28" s="17" t="s">
        <v>48</v>
      </c>
      <c r="G28" s="20" t="s">
        <v>56</v>
      </c>
    </row>
    <row r="29" customFormat="false" ht="15" hidden="false" customHeight="false" outlineLevel="0" collapsed="false">
      <c r="A29" s="14" t="s">
        <v>83</v>
      </c>
      <c r="B29" s="15" t="s">
        <v>84</v>
      </c>
      <c r="C29" s="21" t="n">
        <v>20</v>
      </c>
      <c r="D29" s="21" t="n">
        <v>22</v>
      </c>
      <c r="E29" s="21" t="n">
        <v>28</v>
      </c>
      <c r="F29" s="17" t="s">
        <v>48</v>
      </c>
      <c r="G29" s="20" t="s">
        <v>56</v>
      </c>
    </row>
    <row r="30" customFormat="false" ht="15" hidden="false" customHeight="false" outlineLevel="0" collapsed="false">
      <c r="A30" s="14" t="s">
        <v>85</v>
      </c>
      <c r="B30" s="15" t="s">
        <v>86</v>
      </c>
      <c r="C30" s="21" t="n">
        <v>20</v>
      </c>
      <c r="D30" s="21" t="n">
        <v>22</v>
      </c>
      <c r="E30" s="21" t="n">
        <v>28</v>
      </c>
      <c r="F30" s="17" t="s">
        <v>48</v>
      </c>
      <c r="G30" s="20" t="s">
        <v>56</v>
      </c>
    </row>
    <row r="31" customFormat="false" ht="15" hidden="false" customHeight="false" outlineLevel="0" collapsed="false">
      <c r="A31" s="14" t="s">
        <v>87</v>
      </c>
      <c r="B31" s="15" t="s">
        <v>88</v>
      </c>
      <c r="C31" s="16" t="n">
        <v>2250.32</v>
      </c>
      <c r="D31" s="16" t="n">
        <v>3208.18</v>
      </c>
      <c r="E31" s="16" t="n">
        <v>3948.74</v>
      </c>
      <c r="F31" s="17" t="s">
        <v>48</v>
      </c>
      <c r="G31" s="20" t="s">
        <v>56</v>
      </c>
    </row>
    <row r="32" customFormat="false" ht="15" hidden="false" customHeight="false" outlineLevel="0" collapsed="false">
      <c r="A32" s="14" t="s">
        <v>89</v>
      </c>
      <c r="B32" s="15" t="s">
        <v>90</v>
      </c>
      <c r="C32" s="21" t="n">
        <v>0</v>
      </c>
      <c r="D32" s="21" t="n">
        <v>0</v>
      </c>
      <c r="E32" s="21" t="n">
        <v>0</v>
      </c>
      <c r="F32" s="17" t="s">
        <v>48</v>
      </c>
      <c r="G32" s="20" t="s">
        <v>56</v>
      </c>
    </row>
    <row r="33" customFormat="false" ht="15" hidden="false" customHeight="false" outlineLevel="0" collapsed="false">
      <c r="A33" s="14" t="s">
        <v>91</v>
      </c>
      <c r="B33" s="15" t="s">
        <v>92</v>
      </c>
      <c r="C33" s="16" t="n">
        <v>0</v>
      </c>
      <c r="D33" s="16" t="n">
        <v>0</v>
      </c>
      <c r="E33" s="16" t="n">
        <v>0</v>
      </c>
      <c r="F33" s="17" t="s">
        <v>48</v>
      </c>
      <c r="G33" s="20" t="s">
        <v>56</v>
      </c>
    </row>
    <row r="34" customFormat="false" ht="15" hidden="false" customHeight="false" outlineLevel="0" collapsed="false">
      <c r="A34" s="14" t="s">
        <v>93</v>
      </c>
      <c r="B34" s="15" t="s">
        <v>94</v>
      </c>
      <c r="C34" s="21" t="n">
        <v>0</v>
      </c>
      <c r="D34" s="21" t="n">
        <v>0</v>
      </c>
      <c r="E34" s="21" t="n">
        <v>0</v>
      </c>
      <c r="F34" s="17" t="s">
        <v>48</v>
      </c>
      <c r="G34" s="20" t="s">
        <v>56</v>
      </c>
    </row>
    <row r="35" customFormat="false" ht="15" hidden="false" customHeight="false" outlineLevel="0" collapsed="false">
      <c r="A35" s="14" t="s">
        <v>95</v>
      </c>
      <c r="B35" s="15" t="s">
        <v>96</v>
      </c>
      <c r="C35" s="16" t="n">
        <v>0</v>
      </c>
      <c r="D35" s="16" t="n">
        <v>0</v>
      </c>
      <c r="E35" s="16" t="n">
        <v>0</v>
      </c>
      <c r="F35" s="17" t="s">
        <v>48</v>
      </c>
      <c r="G35" s="20" t="s">
        <v>56</v>
      </c>
    </row>
  </sheetData>
  <mergeCells count="6">
    <mergeCell ref="A1:G1"/>
    <mergeCell ref="A9:G9"/>
    <mergeCell ref="A17:G17"/>
    <mergeCell ref="A20:G20"/>
    <mergeCell ref="A23:G23"/>
    <mergeCell ref="A26:G26"/>
  </mergeCells>
  <dataValidations count="3">
    <dataValidation allowBlank="true" errorStyle="stop" operator="between" showDropDown="false" showErrorMessage="false" showInputMessage="false" sqref="B4" type="list">
      <formula1>"Plásticos de Engenharia,Adesivos Estruturais,Pigatto Hub + Licitação,Papel Térmico + Etiquetas,Químicos,Geral (empresa)"</formula1>
      <formula2>0</formula2>
    </dataValidation>
    <dataValidation allowBlank="true" errorStyle="stop" operator="between" showDropDown="false" showErrorMessage="false" showInputMessage="false" sqref="B6" type="list">
      <formula1>"1,2,3,4"</formula1>
      <formula2>0</formula2>
    </dataValidation>
    <dataValidation allowBlank="true" errorStyle="stop" operator="between" showDropDown="false" showErrorMessage="false" showInputMessage="false" sqref="B5" type="whole">
      <formula1>2024</formula1>
      <formula2>2100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5"/>
    <col collapsed="false" customWidth="true" hidden="false" outlineLevel="0" max="3" min="3" style="0" width="90"/>
  </cols>
  <sheetData>
    <row r="1" customFormat="false" ht="30" hidden="false" customHeight="true" outlineLevel="0" collapsed="false">
      <c r="A1" s="1" t="s">
        <v>97</v>
      </c>
      <c r="B1" s="1"/>
      <c r="C1" s="1"/>
    </row>
    <row r="2" customFormat="false" ht="15" hidden="false" customHeight="false" outlineLevel="0" collapsed="false">
      <c r="A2" s="9" t="s">
        <v>98</v>
      </c>
    </row>
    <row r="3" customFormat="false" ht="26.85" hidden="false" customHeight="false" outlineLevel="0" collapsed="false">
      <c r="A3" s="12" t="s">
        <v>99</v>
      </c>
      <c r="B3" s="12" t="s">
        <v>100</v>
      </c>
      <c r="C3" s="12" t="s">
        <v>101</v>
      </c>
    </row>
    <row r="4" customFormat="false" ht="39.55" hidden="false" customHeight="false" outlineLevel="0" collapsed="false">
      <c r="A4" s="22" t="s">
        <v>102</v>
      </c>
      <c r="B4" s="22" t="s">
        <v>103</v>
      </c>
      <c r="C4" s="22" t="s">
        <v>104</v>
      </c>
    </row>
    <row r="5" customFormat="false" ht="26.85" hidden="false" customHeight="false" outlineLevel="0" collapsed="false">
      <c r="A5" s="22" t="s">
        <v>105</v>
      </c>
      <c r="B5" s="22" t="s">
        <v>106</v>
      </c>
      <c r="C5" s="22" t="s">
        <v>107</v>
      </c>
    </row>
    <row r="6" customFormat="false" ht="39.55" hidden="false" customHeight="false" outlineLevel="0" collapsed="false">
      <c r="A6" s="22" t="s">
        <v>108</v>
      </c>
      <c r="B6" s="22" t="s">
        <v>109</v>
      </c>
      <c r="C6" s="22" t="s">
        <v>110</v>
      </c>
    </row>
    <row r="7" customFormat="false" ht="26.85" hidden="false" customHeight="false" outlineLevel="0" collapsed="false">
      <c r="A7" s="22" t="s">
        <v>111</v>
      </c>
      <c r="B7" s="22" t="s">
        <v>112</v>
      </c>
      <c r="C7" s="22" t="s">
        <v>113</v>
      </c>
    </row>
    <row r="8" customFormat="false" ht="15" hidden="false" customHeight="false" outlineLevel="0" collapsed="false">
      <c r="A8" s="22"/>
      <c r="B8" s="22"/>
      <c r="C8" s="22"/>
    </row>
    <row r="9" customFormat="false" ht="15" hidden="false" customHeight="false" outlineLevel="0" collapsed="false">
      <c r="A9" s="22"/>
      <c r="B9" s="22"/>
      <c r="C9" s="22"/>
    </row>
    <row r="10" customFormat="false" ht="15" hidden="false" customHeight="false" outlineLevel="0" collapsed="false">
      <c r="A10" s="22"/>
      <c r="B10" s="22"/>
      <c r="C10" s="22"/>
    </row>
    <row r="11" customFormat="false" ht="15" hidden="false" customHeight="false" outlineLevel="0" collapsed="false">
      <c r="A11" s="22"/>
      <c r="B11" s="22"/>
      <c r="C11" s="22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70"/>
    <col collapsed="false" customWidth="true" hidden="false" outlineLevel="0" max="4" min="4" style="0" width="12"/>
  </cols>
  <sheetData>
    <row r="1" customFormat="false" ht="30" hidden="false" customHeight="true" outlineLevel="0" collapsed="false">
      <c r="A1" s="1" t="s">
        <v>114</v>
      </c>
      <c r="B1" s="1"/>
      <c r="C1" s="1"/>
      <c r="D1" s="1"/>
    </row>
    <row r="2" customFormat="false" ht="15" hidden="false" customHeight="false" outlineLevel="0" collapsed="false">
      <c r="A2" s="9" t="s">
        <v>98</v>
      </c>
    </row>
    <row r="3" customFormat="false" ht="15" hidden="false" customHeight="false" outlineLevel="0" collapsed="false">
      <c r="A3" s="12" t="s">
        <v>115</v>
      </c>
      <c r="B3" s="12" t="s">
        <v>116</v>
      </c>
      <c r="C3" s="12" t="s">
        <v>117</v>
      </c>
      <c r="D3" s="12" t="s">
        <v>118</v>
      </c>
    </row>
    <row r="4" customFormat="false" ht="15" hidden="false" customHeight="false" outlineLevel="0" collapsed="false">
      <c r="A4" s="22" t="s">
        <v>119</v>
      </c>
      <c r="B4" s="22" t="s">
        <v>120</v>
      </c>
      <c r="C4" s="22"/>
      <c r="D4" s="22"/>
    </row>
    <row r="5" customFormat="false" ht="26.85" hidden="false" customHeight="false" outlineLevel="0" collapsed="false">
      <c r="A5" s="22" t="s">
        <v>121</v>
      </c>
      <c r="B5" s="22" t="s">
        <v>122</v>
      </c>
      <c r="C5" s="22" t="s">
        <v>123</v>
      </c>
      <c r="D5" s="22" t="s">
        <v>124</v>
      </c>
    </row>
    <row r="6" customFormat="false" ht="15" hidden="false" customHeight="false" outlineLevel="0" collapsed="false">
      <c r="A6" s="22" t="s">
        <v>125</v>
      </c>
      <c r="B6" s="22" t="s">
        <v>126</v>
      </c>
      <c r="C6" s="22"/>
      <c r="D6" s="22"/>
    </row>
    <row r="7" customFormat="false" ht="15" hidden="false" customHeight="false" outlineLevel="0" collapsed="false">
      <c r="A7" s="22" t="s">
        <v>127</v>
      </c>
      <c r="B7" s="22" t="s">
        <v>128</v>
      </c>
      <c r="C7" s="22"/>
      <c r="D7" s="22"/>
    </row>
    <row r="8" customFormat="false" ht="15" hidden="false" customHeight="false" outlineLevel="0" collapsed="false">
      <c r="A8" s="22" t="s">
        <v>129</v>
      </c>
      <c r="B8" s="22" t="s">
        <v>130</v>
      </c>
      <c r="C8" s="22" t="s">
        <v>131</v>
      </c>
      <c r="D8" s="22" t="s">
        <v>132</v>
      </c>
    </row>
    <row r="9" customFormat="false" ht="15" hidden="false" customHeight="false" outlineLevel="0" collapsed="false">
      <c r="A9" s="22" t="s">
        <v>133</v>
      </c>
      <c r="B9" s="22" t="s">
        <v>134</v>
      </c>
      <c r="C9" s="22"/>
      <c r="D9" s="22"/>
    </row>
    <row r="10" customFormat="false" ht="15" hidden="false" customHeight="false" outlineLevel="0" collapsed="false">
      <c r="A10" s="22"/>
      <c r="B10" s="22"/>
      <c r="C10" s="22"/>
      <c r="D10" s="22"/>
    </row>
    <row r="11" customFormat="false" ht="15" hidden="false" customHeight="false" outlineLevel="0" collapsed="false">
      <c r="A11" s="22"/>
      <c r="B11" s="22"/>
      <c r="C11" s="22"/>
      <c r="D11" s="22"/>
    </row>
    <row r="12" customFormat="false" ht="15" hidden="false" customHeight="false" outlineLevel="0" collapsed="false">
      <c r="A12" s="22"/>
      <c r="B12" s="22"/>
      <c r="C12" s="22"/>
      <c r="D12" s="22"/>
    </row>
    <row r="13" customFormat="false" ht="15" hidden="false" customHeight="false" outlineLevel="0" collapsed="false">
      <c r="A13" s="22"/>
      <c r="B13" s="22"/>
      <c r="C13" s="22"/>
      <c r="D13" s="22"/>
    </row>
    <row r="14" customFormat="false" ht="15" hidden="false" customHeight="false" outlineLevel="0" collapsed="false">
      <c r="A14" s="22"/>
      <c r="B14" s="22"/>
      <c r="C14" s="22"/>
      <c r="D14" s="22"/>
    </row>
    <row r="15" customFormat="false" ht="15" hidden="false" customHeight="false" outlineLevel="0" collapsed="false">
      <c r="A15" s="22"/>
      <c r="B15" s="22"/>
      <c r="C15" s="22"/>
      <c r="D15" s="22"/>
    </row>
    <row r="16" customFormat="false" ht="15" hidden="false" customHeight="false" outlineLevel="0" collapsed="false">
      <c r="A16" s="22"/>
      <c r="B16" s="22"/>
      <c r="C16" s="22"/>
      <c r="D16" s="22"/>
    </row>
    <row r="17" customFormat="false" ht="15" hidden="false" customHeight="false" outlineLevel="0" collapsed="false">
      <c r="A17" s="22"/>
      <c r="B17" s="22"/>
      <c r="C17" s="22"/>
      <c r="D17" s="22"/>
    </row>
    <row r="18" customFormat="false" ht="15" hidden="false" customHeight="false" outlineLevel="0" collapsed="false">
      <c r="A18" s="22"/>
      <c r="B18" s="22"/>
      <c r="C18" s="22"/>
      <c r="D18" s="22"/>
    </row>
  </sheetData>
  <mergeCells count="1">
    <mergeCell ref="A1:D1"/>
  </mergeCells>
  <dataValidations count="1">
    <dataValidation allowBlank="true" errorStyle="stop" operator="between" showDropDown="false" showErrorMessage="false" showInputMessage="false" sqref="D4:D18" type="list">
      <formula1>"Positivo,Atenção"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  <col collapsed="false" customWidth="true" hidden="false" outlineLevel="0" max="3" min="3" style="0" width="28"/>
  </cols>
  <sheetData>
    <row r="1" customFormat="false" ht="30" hidden="false" customHeight="true" outlineLevel="0" collapsed="false">
      <c r="A1" s="1" t="s">
        <v>135</v>
      </c>
      <c r="B1" s="1"/>
      <c r="C1" s="1"/>
    </row>
    <row r="3" customFormat="false" ht="15" hidden="false" customHeight="false" outlineLevel="0" collapsed="false">
      <c r="A3" s="2" t="s">
        <v>136</v>
      </c>
      <c r="B3" s="10" t="s">
        <v>137</v>
      </c>
    </row>
    <row r="4" customFormat="false" ht="15" hidden="false" customHeight="false" outlineLevel="0" collapsed="false">
      <c r="A4" s="9" t="s">
        <v>98</v>
      </c>
    </row>
    <row r="5" customFormat="false" ht="15" hidden="false" customHeight="false" outlineLevel="0" collapsed="false">
      <c r="A5" s="12" t="s">
        <v>100</v>
      </c>
      <c r="B5" s="12" t="s">
        <v>101</v>
      </c>
      <c r="C5" s="12" t="s">
        <v>138</v>
      </c>
    </row>
    <row r="6" customFormat="false" ht="26.85" hidden="false" customHeight="false" outlineLevel="0" collapsed="false">
      <c r="A6" s="22" t="s">
        <v>139</v>
      </c>
      <c r="B6" s="22" t="s">
        <v>140</v>
      </c>
      <c r="C6" s="22"/>
    </row>
    <row r="7" customFormat="false" ht="26.85" hidden="false" customHeight="false" outlineLevel="0" collapsed="false">
      <c r="A7" s="22" t="s">
        <v>141</v>
      </c>
      <c r="B7" s="22" t="s">
        <v>142</v>
      </c>
      <c r="C7" s="22"/>
    </row>
    <row r="8" customFormat="false" ht="15" hidden="false" customHeight="false" outlineLevel="0" collapsed="false">
      <c r="A8" s="22" t="s">
        <v>143</v>
      </c>
      <c r="B8" s="22" t="s">
        <v>144</v>
      </c>
      <c r="C8" s="22"/>
    </row>
    <row r="9" customFormat="false" ht="15" hidden="false" customHeight="false" outlineLevel="0" collapsed="false">
      <c r="A9" s="22"/>
      <c r="B9" s="22"/>
      <c r="C9" s="22"/>
    </row>
    <row r="10" customFormat="false" ht="15" hidden="false" customHeight="false" outlineLevel="0" collapsed="false">
      <c r="A10" s="22"/>
      <c r="B10" s="22"/>
      <c r="C10" s="22"/>
    </row>
    <row r="11" customFormat="false" ht="15" hidden="false" customHeight="false" outlineLevel="0" collapsed="false">
      <c r="A11" s="22"/>
      <c r="B11" s="22"/>
      <c r="C11" s="22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30" hidden="false" customHeight="true" outlineLevel="0" collapsed="false">
      <c r="A1" s="23" t="s">
        <v>145</v>
      </c>
    </row>
    <row r="2" customFormat="false" ht="15" hidden="false" customHeight="false" outlineLevel="0" collapsed="false">
      <c r="A2" s="9" t="s">
        <v>98</v>
      </c>
    </row>
    <row r="3" customFormat="false" ht="15" hidden="false" customHeight="false" outlineLevel="0" collapsed="false">
      <c r="A3" s="12" t="s">
        <v>146</v>
      </c>
    </row>
    <row r="4" customFormat="false" ht="15" hidden="false" customHeight="false" outlineLevel="0" collapsed="false">
      <c r="A4" s="22" t="s">
        <v>147</v>
      </c>
    </row>
    <row r="5" customFormat="false" ht="26.85" hidden="false" customHeight="false" outlineLevel="0" collapsed="false">
      <c r="A5" s="22" t="s">
        <v>148</v>
      </c>
    </row>
    <row r="6" customFormat="false" ht="15" hidden="false" customHeight="false" outlineLevel="0" collapsed="false">
      <c r="A6" s="22"/>
    </row>
    <row r="7" customFormat="false" ht="15" hidden="false" customHeight="false" outlineLevel="0" collapsed="false">
      <c r="A7" s="22"/>
    </row>
    <row r="8" customFormat="false" ht="15" hidden="false" customHeight="false" outlineLevel="0" collapsed="false">
      <c r="A8" s="22"/>
    </row>
    <row r="9" customFormat="false" ht="15" hidden="false" customHeight="false" outlineLevel="0" collapsed="false">
      <c r="A9" s="22"/>
    </row>
    <row r="10" customFormat="false" ht="15" hidden="false" customHeight="false" outlineLevel="0" collapsed="false">
      <c r="A10" s="22"/>
    </row>
    <row r="11" customFormat="false" ht="15" hidden="false" customHeight="false" outlineLevel="0" collapsed="false">
      <c r="A11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2026-10-05T20:21:51Z</dcterms:created>
  <dc:creator>openpyxl</dc:creator>
  <dc:description/>
  <dc:language>en-US</dc:language>
  <cp:lastModifiedBy/>
  <dcterms:modified xsi:type="dcterms:W3CDTF">2026-10-05T20:21:51Z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